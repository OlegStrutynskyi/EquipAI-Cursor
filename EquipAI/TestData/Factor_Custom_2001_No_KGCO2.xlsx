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quipAI\Test Data\Custom Factors\"/>
    </mc:Choice>
  </mc:AlternateContent>
  <xr:revisionPtr revIDLastSave="0" documentId="8_{EE918AA3-8170-4F13-8BB7-EF41DEB268A0}" xr6:coauthVersionLast="47" xr6:coauthVersionMax="47" xr10:uidLastSave="{00000000-0000-0000-0000-000000000000}"/>
  <bookViews>
    <workbookView xWindow="28680" yWindow="-120" windowWidth="29040" windowHeight="15720" xr2:uid="{08798A26-ADBE-4981-A919-5F3E8CA2FC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6" i="1" l="1"/>
  <c r="D17" i="1"/>
  <c r="D18" i="1"/>
  <c r="D19" i="1"/>
  <c r="D20" i="1"/>
  <c r="D21" i="1"/>
  <c r="D22" i="1"/>
  <c r="D24" i="1"/>
  <c r="D23" i="1"/>
</calcChain>
</file>

<file path=xl/sharedStrings.xml><?xml version="1.0" encoding="utf-8"?>
<sst xmlns="http://schemas.openxmlformats.org/spreadsheetml/2006/main" count="96" uniqueCount="39">
  <si>
    <t>Custom Emission Factors</t>
  </si>
  <si>
    <t>Activity</t>
  </si>
  <si>
    <t>Fuel</t>
  </si>
  <si>
    <t>Unit</t>
  </si>
  <si>
    <t>kg CO2e of CO2 per unit</t>
  </si>
  <si>
    <t>kg CO2e of CH4 per unit</t>
  </si>
  <si>
    <t>kg CO2e of N2O per unit</t>
  </si>
  <si>
    <t>Grid Electricity</t>
  </si>
  <si>
    <t>MX: Electricity Grid Mix</t>
  </si>
  <si>
    <t>kWh</t>
  </si>
  <si>
    <t>-</t>
  </si>
  <si>
    <t>MY: Electricity Grid Mix</t>
  </si>
  <si>
    <t>Rocky Mountain: Power Renewable Energy</t>
  </si>
  <si>
    <t>US: Electricity from Photovoltaic</t>
  </si>
  <si>
    <t>PH: Electricity Grid Mix</t>
  </si>
  <si>
    <t>CO: Electricity Grid MIx</t>
  </si>
  <si>
    <t>SG: Electricity Grid Mix</t>
  </si>
  <si>
    <t>US: Electricity from Wind Power</t>
  </si>
  <si>
    <t>Natural Gas</t>
  </si>
  <si>
    <t>Natural Gas: St. Paul</t>
  </si>
  <si>
    <t>sqft</t>
  </si>
  <si>
    <t>Natural Gas: Oklahoma City</t>
  </si>
  <si>
    <t>Natural Gas: Tulsa</t>
  </si>
  <si>
    <t>Natural Gas: Beloit</t>
  </si>
  <si>
    <t>Butane</t>
  </si>
  <si>
    <t>Butylene</t>
  </si>
  <si>
    <t>Crude Oil</t>
  </si>
  <si>
    <t>Petrol</t>
  </si>
  <si>
    <t>Ethane</t>
  </si>
  <si>
    <t>Kerosene</t>
  </si>
  <si>
    <t>Propane</t>
  </si>
  <si>
    <t>Propylene</t>
  </si>
  <si>
    <t>Coal and Coke</t>
  </si>
  <si>
    <t>Coal Coke</t>
  </si>
  <si>
    <t>Biomass</t>
  </si>
  <si>
    <t>Peat</t>
  </si>
  <si>
    <t>gallon</t>
  </si>
  <si>
    <t>t</t>
  </si>
  <si>
    <t>xxkgCO2exx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</si>
</sst>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7B7B7"/>
        <bgColor indexed="64"/>
      </patternFill>
    </fill>
    <fill>
      <patternFill patternType="solid">
        <fgColor rgb="FFD9D9D9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4" fillId="0" borderId="1" xfId="1" applyNumberFormat="1" applyFont="1" applyFill="1" applyBorder="1"/>
    <xf numFmtId="43" fontId="4" fillId="0" borderId="1" xfId="1" applyFont="1" applyFill="1" applyBorder="1"/>
    <xf numFmtId="0" fontId="2" fillId="3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0" fillId="0" borderId="1" xfId="0" applyBorder="1"/>
    <xf numFmtId="0" fontId="4" fillId="0" borderId="1" xfId="0" applyFont="1" applyBorder="1"/>
    <xf numFmtId="4" fontId="0" fillId="0" borderId="1" xfId="0" applyNumberFormat="1" applyBorder="1"/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A180C-7731-4E82-8792-F6336C2F6574}">
  <dimension ref="A1:G24"/>
  <sheetViews>
    <sheetView tabSelected="1" workbookViewId="0">
      <selection activeCell="D2" sqref="D2"/>
    </sheetView>
  </sheetViews>
  <sheetFormatPr defaultRowHeight="14.4" x14ac:dyDescent="0.3"/>
  <cols>
    <col min="1" max="1" width="14.33203125" customWidth="1"/>
    <col min="2" max="2" width="37" customWidth="1"/>
    <col min="4" max="4" width="11.109375" bestFit="1" customWidth="1"/>
    <col min="5" max="5" width="24.109375" customWidth="1"/>
    <col min="6" max="6" width="24" customWidth="1"/>
    <col min="7" max="7" width="24.77734375" customWidth="1"/>
  </cols>
  <sheetData>
    <row r="1" spans="1:7" x14ac:dyDescent="0.3">
      <c r="A1" s="10" t="s">
        <v>0</v>
      </c>
      <c r="B1" s="11"/>
      <c r="C1" s="11"/>
      <c r="D1" s="11"/>
      <c r="E1" s="11"/>
      <c r="F1" s="11"/>
      <c r="G1" s="12"/>
    </row>
    <row r="2" spans="1:7" ht="27" x14ac:dyDescent="0.3">
      <c r="A2" s="3" t="s">
        <v>1</v>
      </c>
      <c r="B2" s="3" t="s">
        <v>2</v>
      </c>
      <c r="C2" s="3" t="s">
        <v>3</v>
      </c>
      <c r="D2" s="3" t="s">
        <v>38</v>
      </c>
      <c r="E2" s="3" t="s">
        <v>4</v>
      </c>
      <c r="F2" s="3" t="s">
        <v>5</v>
      </c>
      <c r="G2" s="3" t="s">
        <v>6</v>
      </c>
    </row>
    <row r="3" spans="1:7" x14ac:dyDescent="0.3">
      <c r="A3" s="9" t="s">
        <v>7</v>
      </c>
      <c r="B3" s="4" t="s">
        <v>8</v>
      </c>
      <c r="C3" s="4" t="s">
        <v>9</v>
      </c>
      <c r="D3" s="5">
        <v>0.47599999999999998</v>
      </c>
      <c r="E3" s="4" t="s">
        <v>10</v>
      </c>
      <c r="F3" s="4" t="s">
        <v>10</v>
      </c>
      <c r="G3" s="4" t="s">
        <v>10</v>
      </c>
    </row>
    <row r="4" spans="1:7" x14ac:dyDescent="0.3">
      <c r="A4" s="9"/>
      <c r="B4" s="4" t="s">
        <v>11</v>
      </c>
      <c r="C4" s="4" t="s">
        <v>9</v>
      </c>
      <c r="D4" s="5">
        <v>0.66700000000000004</v>
      </c>
      <c r="E4" s="4" t="s">
        <v>10</v>
      </c>
      <c r="F4" s="4" t="s">
        <v>10</v>
      </c>
      <c r="G4" s="4" t="s">
        <v>10</v>
      </c>
    </row>
    <row r="5" spans="1:7" x14ac:dyDescent="0.3">
      <c r="A5" s="9"/>
      <c r="B5" s="4" t="s">
        <v>12</v>
      </c>
      <c r="C5" s="4" t="s">
        <v>9</v>
      </c>
      <c r="D5" s="5">
        <v>1.2999999999999999E-2</v>
      </c>
      <c r="E5" s="4" t="s">
        <v>10</v>
      </c>
      <c r="F5" s="4" t="s">
        <v>10</v>
      </c>
      <c r="G5" s="4" t="s">
        <v>10</v>
      </c>
    </row>
    <row r="6" spans="1:7" x14ac:dyDescent="0.3">
      <c r="A6" s="9"/>
      <c r="B6" s="4" t="s">
        <v>13</v>
      </c>
      <c r="C6" s="4" t="s">
        <v>9</v>
      </c>
      <c r="D6" s="5">
        <v>2.5000000000000001E-2</v>
      </c>
      <c r="E6" s="4" t="s">
        <v>10</v>
      </c>
      <c r="F6" s="4" t="s">
        <v>10</v>
      </c>
      <c r="G6" s="4" t="s">
        <v>10</v>
      </c>
    </row>
    <row r="7" spans="1:7" x14ac:dyDescent="0.3">
      <c r="A7" s="9"/>
      <c r="B7" s="4" t="s">
        <v>14</v>
      </c>
      <c r="C7" s="4" t="s">
        <v>9</v>
      </c>
      <c r="D7" s="5">
        <v>0.80800000000000005</v>
      </c>
      <c r="E7" s="4" t="s">
        <v>10</v>
      </c>
      <c r="F7" s="4" t="s">
        <v>10</v>
      </c>
      <c r="G7" s="4" t="s">
        <v>10</v>
      </c>
    </row>
    <row r="8" spans="1:7" x14ac:dyDescent="0.3">
      <c r="A8" s="9"/>
      <c r="B8" s="4" t="s">
        <v>15</v>
      </c>
      <c r="C8" s="4" t="s">
        <v>9</v>
      </c>
      <c r="D8" s="5">
        <v>0.34799999999999998</v>
      </c>
      <c r="E8" s="4" t="s">
        <v>10</v>
      </c>
      <c r="F8" s="4" t="s">
        <v>10</v>
      </c>
      <c r="G8" s="4" t="s">
        <v>10</v>
      </c>
    </row>
    <row r="9" spans="1:7" x14ac:dyDescent="0.3">
      <c r="A9" s="9"/>
      <c r="B9" s="4" t="s">
        <v>16</v>
      </c>
      <c r="C9" s="4" t="s">
        <v>9</v>
      </c>
      <c r="D9" s="5">
        <v>0.38800000000000001</v>
      </c>
      <c r="E9" s="4" t="s">
        <v>10</v>
      </c>
      <c r="F9" s="4" t="s">
        <v>10</v>
      </c>
      <c r="G9" s="4" t="s">
        <v>10</v>
      </c>
    </row>
    <row r="10" spans="1:7" x14ac:dyDescent="0.3">
      <c r="A10" s="9"/>
      <c r="B10" s="4" t="s">
        <v>17</v>
      </c>
      <c r="C10" s="4" t="s">
        <v>9</v>
      </c>
      <c r="D10" s="5">
        <v>8.9999999999999993E-3</v>
      </c>
      <c r="E10" s="4" t="s">
        <v>10</v>
      </c>
      <c r="F10" s="4" t="s">
        <v>10</v>
      </c>
      <c r="G10" s="4" t="s">
        <v>10</v>
      </c>
    </row>
    <row r="11" spans="1:7" x14ac:dyDescent="0.3">
      <c r="A11" s="9" t="s">
        <v>18</v>
      </c>
      <c r="B11" s="4" t="s">
        <v>19</v>
      </c>
      <c r="C11" s="4" t="s">
        <v>20</v>
      </c>
      <c r="D11" s="5">
        <v>1.07291</v>
      </c>
      <c r="E11" s="4" t="s">
        <v>10</v>
      </c>
      <c r="F11" s="4" t="s">
        <v>10</v>
      </c>
      <c r="G11" s="4" t="s">
        <v>10</v>
      </c>
    </row>
    <row r="12" spans="1:7" x14ac:dyDescent="0.3">
      <c r="A12" s="9"/>
      <c r="B12" s="4" t="s">
        <v>21</v>
      </c>
      <c r="C12" s="4" t="s">
        <v>20</v>
      </c>
      <c r="D12" s="5">
        <v>1.07291</v>
      </c>
      <c r="E12" s="4" t="s">
        <v>10</v>
      </c>
      <c r="F12" s="4" t="s">
        <v>10</v>
      </c>
      <c r="G12" s="4" t="s">
        <v>10</v>
      </c>
    </row>
    <row r="13" spans="1:7" x14ac:dyDescent="0.3">
      <c r="A13" s="9"/>
      <c r="B13" s="4" t="s">
        <v>22</v>
      </c>
      <c r="C13" s="4" t="s">
        <v>20</v>
      </c>
      <c r="D13" s="5">
        <v>1.07291</v>
      </c>
      <c r="E13" s="4" t="s">
        <v>10</v>
      </c>
      <c r="F13" s="4" t="s">
        <v>10</v>
      </c>
      <c r="G13" s="4" t="s">
        <v>10</v>
      </c>
    </row>
    <row r="14" spans="1:7" x14ac:dyDescent="0.3">
      <c r="A14" s="9"/>
      <c r="B14" s="4" t="s">
        <v>23</v>
      </c>
      <c r="C14" s="4" t="s">
        <v>20</v>
      </c>
      <c r="D14" s="5">
        <v>1.07291</v>
      </c>
      <c r="E14" s="4" t="s">
        <v>10</v>
      </c>
      <c r="F14" s="4" t="s">
        <v>10</v>
      </c>
      <c r="G14" s="4" t="s">
        <v>10</v>
      </c>
    </row>
    <row r="15" spans="1:7" x14ac:dyDescent="0.3">
      <c r="A15" s="9"/>
      <c r="B15" s="4" t="s">
        <v>18</v>
      </c>
      <c r="C15" s="4" t="s">
        <v>20</v>
      </c>
      <c r="D15" s="5">
        <v>1.07291</v>
      </c>
      <c r="E15" s="4" t="s">
        <v>10</v>
      </c>
      <c r="F15" s="4" t="s">
        <v>10</v>
      </c>
      <c r="G15" s="4" t="s">
        <v>10</v>
      </c>
    </row>
    <row r="16" spans="1:7" x14ac:dyDescent="0.3">
      <c r="A16" s="6" t="s">
        <v>27</v>
      </c>
      <c r="B16" s="7" t="s">
        <v>24</v>
      </c>
      <c r="C16" s="4" t="s">
        <v>36</v>
      </c>
      <c r="D16" s="8">
        <f t="shared" ref="D16:D22" si="0">E16+F16+G16</f>
        <v>7.0399999999999991</v>
      </c>
      <c r="E16" s="2">
        <v>6.67</v>
      </c>
      <c r="F16" s="2">
        <v>0.31</v>
      </c>
      <c r="G16" s="2">
        <v>0.06</v>
      </c>
    </row>
    <row r="17" spans="1:7" x14ac:dyDescent="0.3">
      <c r="A17" s="6"/>
      <c r="B17" s="7" t="s">
        <v>25</v>
      </c>
      <c r="C17" s="4" t="s">
        <v>36</v>
      </c>
      <c r="D17" s="8">
        <f t="shared" si="0"/>
        <v>7.22</v>
      </c>
      <c r="E17" s="2">
        <v>7.22</v>
      </c>
      <c r="F17" s="2"/>
      <c r="G17" s="2"/>
    </row>
    <row r="18" spans="1:7" x14ac:dyDescent="0.3">
      <c r="A18" s="6"/>
      <c r="B18" s="7" t="s">
        <v>26</v>
      </c>
      <c r="C18" s="4" t="s">
        <v>36</v>
      </c>
      <c r="D18" s="8">
        <f t="shared" si="0"/>
        <v>10.7</v>
      </c>
      <c r="E18" s="6">
        <v>10.29</v>
      </c>
      <c r="F18" s="6">
        <v>0.41</v>
      </c>
      <c r="G18" s="4"/>
    </row>
    <row r="19" spans="1:7" x14ac:dyDescent="0.3">
      <c r="A19" s="6"/>
      <c r="B19" s="7" t="s">
        <v>28</v>
      </c>
      <c r="C19" s="4" t="s">
        <v>36</v>
      </c>
      <c r="D19" s="8">
        <f t="shared" si="0"/>
        <v>4.09</v>
      </c>
      <c r="E19" s="2">
        <v>4.05</v>
      </c>
      <c r="F19" s="2"/>
      <c r="G19" s="2">
        <v>0.04</v>
      </c>
    </row>
    <row r="20" spans="1:7" x14ac:dyDescent="0.3">
      <c r="A20" s="6"/>
      <c r="B20" s="7" t="s">
        <v>29</v>
      </c>
      <c r="C20" s="4" t="s">
        <v>36</v>
      </c>
      <c r="D20" s="8">
        <f t="shared" si="0"/>
        <v>4.03</v>
      </c>
      <c r="E20" s="2">
        <v>3.83</v>
      </c>
      <c r="F20" s="2">
        <v>0.17</v>
      </c>
      <c r="G20" s="2">
        <v>0.03</v>
      </c>
    </row>
    <row r="21" spans="1:7" x14ac:dyDescent="0.3">
      <c r="A21" s="6"/>
      <c r="B21" s="7" t="s">
        <v>30</v>
      </c>
      <c r="C21" s="4" t="s">
        <v>36</v>
      </c>
      <c r="D21" s="8">
        <f t="shared" si="0"/>
        <v>6.4899999999999993</v>
      </c>
      <c r="E21" s="2">
        <v>6.17</v>
      </c>
      <c r="F21" s="2">
        <v>0.27</v>
      </c>
      <c r="G21" s="2">
        <v>0.05</v>
      </c>
    </row>
    <row r="22" spans="1:7" x14ac:dyDescent="0.3">
      <c r="A22" s="6"/>
      <c r="B22" s="7" t="s">
        <v>31</v>
      </c>
      <c r="C22" s="4" t="s">
        <v>36</v>
      </c>
      <c r="D22" s="8">
        <f t="shared" si="0"/>
        <v>10.71</v>
      </c>
      <c r="E22" s="2">
        <v>10.210000000000001</v>
      </c>
      <c r="F22" s="2">
        <v>0.42</v>
      </c>
      <c r="G22" s="2">
        <v>0.08</v>
      </c>
    </row>
    <row r="23" spans="1:7" x14ac:dyDescent="0.3">
      <c r="A23" s="6" t="s">
        <v>32</v>
      </c>
      <c r="B23" s="7" t="s">
        <v>33</v>
      </c>
      <c r="C23" s="4" t="s">
        <v>37</v>
      </c>
      <c r="D23" s="8">
        <f>E23+F23+G23</f>
        <v>3132</v>
      </c>
      <c r="E23" s="1">
        <v>2819</v>
      </c>
      <c r="F23" s="1">
        <v>273</v>
      </c>
      <c r="G23" s="1">
        <v>40</v>
      </c>
    </row>
    <row r="24" spans="1:7" x14ac:dyDescent="0.3">
      <c r="A24" s="6" t="s">
        <v>34</v>
      </c>
      <c r="B24" s="7" t="s">
        <v>35</v>
      </c>
      <c r="C24" s="4" t="s">
        <v>37</v>
      </c>
      <c r="D24" s="8">
        <f>E24+F24+G24</f>
        <v>1185</v>
      </c>
      <c r="E24" s="1">
        <v>895</v>
      </c>
      <c r="F24" s="1">
        <v>256</v>
      </c>
      <c r="G24" s="1">
        <v>34</v>
      </c>
    </row>
  </sheetData>
  <mergeCells count="3">
    <mergeCell ref="A1:G1"/>
    <mergeCell ref="A3:A10"/>
    <mergeCell ref="A11:A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 Strutynskyi</dc:creator>
  <cp:lastModifiedBy>Oleg Strutynskyi</cp:lastModifiedBy>
  <dcterms:created xsi:type="dcterms:W3CDTF">2026-08-19T07:51:04Z</dcterms:created>
  <dcterms:modified xsi:type="dcterms:W3CDTF">2026-09-10T11:46:28Z</dcterms:modified>
</cp:coreProperties>
</file>